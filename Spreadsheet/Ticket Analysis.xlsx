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Pivot Table 1" sheetId="2" r:id="rId6"/>
    <sheet state="visible" name="feedback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<sst xmlns="http://schemas.openxmlformats.org/spreadsheetml/2006/main" count="25" uniqueCount="20">
  <si>
    <t>ticket_id</t>
  </si>
  <si>
    <t>created_at</t>
  </si>
  <si>
    <t>closed_at</t>
  </si>
  <si>
    <t>outlet_id</t>
  </si>
  <si>
    <t>cms_id</t>
  </si>
  <si>
    <t>same day?</t>
  </si>
  <si>
    <t>same hour?</t>
  </si>
  <si>
    <t>same day (num)</t>
  </si>
  <si>
    <t>same hour(num)</t>
  </si>
  <si>
    <t>isu-sjd-457</t>
  </si>
  <si>
    <t>wrqy-juv-978</t>
  </si>
  <si>
    <t>vew-iuvd-12</t>
  </si>
  <si>
    <t>qer-fal-092</t>
  </si>
  <si>
    <t>8woh-k3u-23b</t>
  </si>
  <si>
    <t>SUM of same day (num)</t>
  </si>
  <si>
    <t>SUM of same hour(num)</t>
  </si>
  <si>
    <t>Grand Total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</si>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</sst>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" sheet="ticket"/>
  </cacheSource>
  <cacheFields>
    <cacheField name="ticket_id" numFmtId="0">
      <sharedItems containsBlank="1">
        <s v="isu-sjd-457"/>
        <s v="qer-fal-092"/>
        <m/>
      </sharedItems>
    </cacheField>
    <cacheField name="created_at" numFmtId="164">
      <sharedItems containsDate="1" containsString="0" containsBlank="1">
        <d v="2021-08-19T16:45:43Z"/>
        <d v="2021-08-21T11:09:22Z"/>
        <m/>
      </sharedItems>
    </cacheField>
    <cacheField name="closed_at" numFmtId="164">
      <sharedItems containsDate="1" containsString="0" containsBlank="1">
        <d v="2021-08-22T12:33:32Z"/>
        <d v="2021-08-21T17:13:45Z"/>
        <m/>
      </sharedItems>
    </cacheField>
    <cacheField name="outlet_id" numFmtId="0">
      <sharedItems containsBlank="1">
        <s v="wrqy-juv-978"/>
        <s v="8woh-k3u-23b"/>
        <m/>
      </sharedItems>
    </cacheField>
    <cacheField name="cms_id" numFmtId="0">
      <sharedItems containsBlank="1">
        <s v="vew-iuvd-12"/>
        <m/>
      </sharedItems>
    </cacheField>
    <cacheField name="same day?" numFmtId="0">
      <sharedItems containsBlank="1">
        <b v="0"/>
        <b v="1"/>
        <m/>
      </sharedItems>
    </cacheField>
    <cacheField name="same hour?" numFmtId="0">
      <sharedItems containsBlank="1">
        <b v="0"/>
        <m/>
      </sharedItems>
    </cacheField>
    <cacheField name="same day (num)" numFmtId="0">
      <sharedItems containsString="0" containsBlank="1" containsNumber="1" containsInteger="1">
        <n v="0.0"/>
        <n v="1.0"/>
        <m/>
      </sharedItems>
    </cacheField>
    <cacheField name="same hour(num)" numFmtId="0">
      <sharedItems containsString="0" containsBlank="1" containsNumber="1" containsInteger="1"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" firstHeaderRow="0" firstDataRow="2" firstDataCol="0"/>
  <pivotFields>
    <pivotField name="ticket_id" compact="0" outline="0" multipleItemSelectionAllowed="1" showAll="0">
      <items>
        <item x="0"/>
        <item x="1"/>
        <item x="2"/>
        <item t="default"/>
      </items>
    </pivotField>
    <pivotField name="created_at" compact="0" numFmtId="164" outline="0" multipleItemSelectionAllowed="1" showAll="0">
      <items>
        <item x="0"/>
        <item x="1"/>
        <item x="2"/>
        <item t="default"/>
      </items>
    </pivotField>
    <pivotField name="closed_at" compact="0" numFmtId="164" outline="0" multipleItemSelectionAllowed="1" showAll="0">
      <items>
        <item x="0"/>
        <item x="1"/>
        <item x="2"/>
        <item t="default"/>
      </items>
    </pivotField>
    <pivotField name="outlet_id" axis="axisRow" compact="0" outline="0" multipleItemSelectionAllowed="1" showAll="0" sortType="ascending">
      <items>
        <item x="2"/>
        <item x="1"/>
        <item x="0"/>
        <item t="default"/>
      </items>
    </pivotField>
    <pivotField name="cms_id" compact="0" outline="0" multipleItemSelectionAllowed="1" showAll="0">
      <items>
        <item x="0"/>
        <item x="1"/>
        <item t="default"/>
      </items>
    </pivotField>
    <pivotField name="same day?" compact="0" outline="0" multipleItemSelectionAllowed="1" showAll="0">
      <items>
        <item x="0"/>
        <item x="1"/>
        <item x="2"/>
        <item t="default"/>
      </items>
    </pivotField>
    <pivotField name="same hour?" compact="0" outline="0" multipleItemSelectionAllowed="1" showAll="0">
      <items>
        <item x="0"/>
        <item x="1"/>
        <item t="default"/>
      </items>
    </pivotField>
    <pivotField name="same day (num)" dataField="1" compact="0" outline="0" multipleItemSelectionAllowed="1" showAll="0">
      <items>
        <item x="0"/>
        <item x="1"/>
        <item x="2"/>
        <item t="default"/>
      </items>
    </pivotField>
    <pivotField name="same hour(num)" dataField="1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SUM of same day (num)" fld="7" baseField="0"/>
    <dataField name="SUM of same hour(num)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44427.69841435185</v>
      </c>
      <c r="C2" s="2">
        <v>44430.52328703704</v>
      </c>
      <c r="D2" s="1" t="s">
        <v>10</v>
      </c>
      <c r="E2" s="1" t="s">
        <v>11</v>
      </c>
      <c r="F2" s="3" t="b">
        <f t="shared" ref="F2:F3" si="2">INT(B2)=INT(C2)</f>
        <v>0</v>
      </c>
      <c r="G2" s="3" t="b">
        <f t="shared" ref="G2:G3" si="3">TEXT(B2,"yyyy-mm-dd hh")=TEXT(C2,"yyyy-mm-dd hh")</f>
        <v>0</v>
      </c>
      <c r="H2" s="3">
        <f t="shared" ref="H2:I2" si="1">IF(F2,1,0)</f>
        <v>0</v>
      </c>
      <c r="I2" s="3">
        <f t="shared" si="1"/>
        <v>0</v>
      </c>
    </row>
    <row r="3">
      <c r="A3" s="1" t="s">
        <v>12</v>
      </c>
      <c r="B3" s="2">
        <v>44429.464837962965</v>
      </c>
      <c r="C3" s="2">
        <v>44429.717881944445</v>
      </c>
      <c r="D3" s="1" t="s">
        <v>13</v>
      </c>
      <c r="F3" s="3" t="b">
        <f t="shared" si="2"/>
        <v>1</v>
      </c>
      <c r="G3" s="3" t="b">
        <f t="shared" si="3"/>
        <v>0</v>
      </c>
      <c r="H3" s="3">
        <f t="shared" ref="H3:I3" si="4">IF(F3,1,0)</f>
        <v>1</v>
      </c>
      <c r="I3" s="3">
        <f t="shared" si="4"/>
        <v>0</v>
      </c>
    </row>
    <row r="4">
      <c r="B4" s="4"/>
      <c r="C4" s="4"/>
    </row>
    <row r="5">
      <c r="B5" s="4"/>
      <c r="C5" s="4"/>
    </row>
    <row r="6">
      <c r="B6" s="4"/>
      <c r="C6" s="4"/>
    </row>
    <row r="7">
      <c r="B7" s="4"/>
      <c r="C7" s="4"/>
    </row>
    <row r="8">
      <c r="B8" s="4"/>
      <c r="C8" s="4"/>
    </row>
    <row r="9">
      <c r="B9" s="4"/>
      <c r="C9" s="4"/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17</v>
      </c>
      <c r="C1" s="1" t="s">
        <v>18</v>
      </c>
      <c r="D1" s="1" t="s">
        <v>19</v>
      </c>
    </row>
    <row r="2">
      <c r="A2" s="1" t="s">
        <v>11</v>
      </c>
      <c r="B2" s="2">
        <v>44429.560277777775</v>
      </c>
      <c r="C2" s="1">
        <v>3.0</v>
      </c>
      <c r="D2" s="4">
        <f t="array" ref="D2">INDEX(ticket!B:B, MATCH(A2, ticket!E:E, 0))</f>
        <v>44427.69841</v>
      </c>
    </row>
    <row r="3">
      <c r="A3" s="5"/>
      <c r="B3" s="4"/>
    </row>
    <row r="4">
      <c r="A4" s="1"/>
      <c r="B4" s="4"/>
    </row>
    <row r="5">
      <c r="B5" s="4"/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